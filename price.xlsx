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ryadko\Documents\информация\2025_12_прайси, ставки\"/>
    </mc:Choice>
  </mc:AlternateContent>
  <bookViews>
    <workbookView xWindow="0" yWindow="0" windowWidth="23040" windowHeight="9192"/>
  </bookViews>
  <sheets>
    <sheet name="цін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L16" i="1" s="1"/>
  <c r="O16" i="1" s="1"/>
  <c r="J15" i="1"/>
  <c r="L15" i="1" s="1"/>
  <c r="O15" i="1" s="1"/>
  <c r="J14" i="1"/>
  <c r="J4" i="1"/>
  <c r="L4" i="1" s="1"/>
  <c r="O4" i="1" s="1"/>
  <c r="N4" i="1"/>
  <c r="B31" i="1"/>
  <c r="F15" i="1"/>
  <c r="F18" i="1" s="1"/>
  <c r="E15" i="1"/>
  <c r="E18" i="1" s="1"/>
  <c r="D15" i="1"/>
  <c r="D18" i="1" s="1"/>
  <c r="C15" i="1"/>
  <c r="C19" i="1" s="1"/>
  <c r="F14" i="1"/>
  <c r="E14" i="1"/>
  <c r="D14" i="1"/>
  <c r="Q8" i="1"/>
  <c r="Q9" i="1" s="1"/>
  <c r="N5" i="1"/>
  <c r="J5" i="1"/>
  <c r="L5" i="1" s="1"/>
  <c r="F4" i="1"/>
  <c r="C22" i="1" l="1"/>
  <c r="C23" i="1" s="1"/>
  <c r="C24" i="1"/>
  <c r="C25" i="1" s="1"/>
  <c r="F26" i="1"/>
  <c r="F27" i="1" s="1"/>
  <c r="C26" i="1"/>
  <c r="C27" i="1" s="1"/>
  <c r="F20" i="1"/>
  <c r="E20" i="1"/>
  <c r="D19" i="1"/>
  <c r="D26" i="1"/>
  <c r="D27" i="1" s="1"/>
  <c r="D24" i="1"/>
  <c r="D25" i="1" s="1"/>
  <c r="D20" i="1"/>
  <c r="D22" i="1"/>
  <c r="D23" i="1" s="1"/>
  <c r="O5" i="1"/>
  <c r="M7" i="1"/>
  <c r="E19" i="1"/>
  <c r="E26" i="1"/>
  <c r="E27" i="1" s="1"/>
  <c r="E24" i="1"/>
  <c r="E25" i="1" s="1"/>
  <c r="E22" i="1"/>
  <c r="E23" i="1" s="1"/>
  <c r="F19" i="1"/>
  <c r="F22" i="1"/>
  <c r="F23" i="1" s="1"/>
  <c r="F24" i="1"/>
  <c r="F25" i="1" s="1"/>
  <c r="L14" i="1" l="1"/>
  <c r="O14" i="1" s="1"/>
</calcChain>
</file>

<file path=xl/sharedStrings.xml><?xml version="1.0" encoding="utf-8"?>
<sst xmlns="http://schemas.openxmlformats.org/spreadsheetml/2006/main" count="57" uniqueCount="54">
  <si>
    <t>РІВНІ</t>
  </si>
  <si>
    <t>БЕЗЛІМІТИ</t>
  </si>
  <si>
    <t xml:space="preserve">пробний безлім </t>
  </si>
  <si>
    <t>6000/ 6 тижнів</t>
  </si>
  <si>
    <t>Рівні</t>
  </si>
  <si>
    <t>Місяці</t>
  </si>
  <si>
    <t>Вартість роздр.</t>
  </si>
  <si>
    <t>Знижка %</t>
  </si>
  <si>
    <t>Бонус, мес</t>
  </si>
  <si>
    <t>Разом час</t>
  </si>
  <si>
    <t>Ціна місяць</t>
  </si>
  <si>
    <t>РІЧНИЙ БЕЗЛІМІТ</t>
  </si>
  <si>
    <t>під запит</t>
  </si>
  <si>
    <t>Кількість рівнів в програмі</t>
  </si>
  <si>
    <t>Тривалість програми</t>
  </si>
  <si>
    <t>12 місяців</t>
  </si>
  <si>
    <t>К-ть уроків в програмі</t>
  </si>
  <si>
    <t>Кількість рівнів</t>
  </si>
  <si>
    <t>необмежена</t>
  </si>
  <si>
    <t>до 8 рівнів</t>
  </si>
  <si>
    <t>320 занять</t>
  </si>
  <si>
    <t>Знижка</t>
  </si>
  <si>
    <t>Проходиш рівень - відкривають наступний</t>
  </si>
  <si>
    <t>Вартість</t>
  </si>
  <si>
    <t>29 900 грн</t>
  </si>
  <si>
    <t>ціна дня навчання, грн</t>
  </si>
  <si>
    <t>ціна дня навчання, євро</t>
  </si>
  <si>
    <t>Ціна без покупки програми</t>
  </si>
  <si>
    <t xml:space="preserve">Ціна програми </t>
  </si>
  <si>
    <t>Знижка за швидке рішення</t>
  </si>
  <si>
    <t>Ціна зі знижкою</t>
  </si>
  <si>
    <t>еквівалент в євро</t>
  </si>
  <si>
    <t>курс євро</t>
  </si>
  <si>
    <t>Заощадження</t>
  </si>
  <si>
    <t>ціна рівня в програмі</t>
  </si>
  <si>
    <t>ціна місяця</t>
  </si>
  <si>
    <t>ціна уроку, грн</t>
  </si>
  <si>
    <t>ціна уроку, євро</t>
  </si>
  <si>
    <t>Easy Start</t>
  </si>
  <si>
    <t xml:space="preserve">5 занять по 50 хв індивідуально </t>
  </si>
  <si>
    <t>ПРЕМІУМ -19900 грн 1 рівень</t>
  </si>
  <si>
    <t>вартість 1 рівня</t>
  </si>
  <si>
    <t>20 занять індивідуально</t>
  </si>
  <si>
    <t>10 платежів (9 міс+ перший)</t>
  </si>
  <si>
    <t>(2 додаткові тижні для тих хто перше)</t>
  </si>
  <si>
    <t>акції</t>
  </si>
  <si>
    <t>рівні</t>
  </si>
  <si>
    <t>знижка</t>
  </si>
  <si>
    <t>ціна за знижкою</t>
  </si>
  <si>
    <t>місяців в програмі</t>
  </si>
  <si>
    <t>ціна/рівень</t>
  </si>
  <si>
    <t>50/50  або</t>
  </si>
  <si>
    <t>оплата року:</t>
  </si>
  <si>
    <t>грн/міс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</si>
</sst>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₽_-;\-* #,##0.00\ _₽_-;_-* &quot;-&quot;??\ _₽_-;_-@_-"/>
    <numFmt numFmtId="164" formatCode="\ * #,##0&quot;    &quot;;\-* #,##0&quot;    &quot;;\ * \-#&quot;    &quot;;\ @\ "/>
    <numFmt numFmtId="165" formatCode="\ * #,##0.00&quot;    &quot;;\-* #,##0.00&quot;    &quot;;\ * \-#&quot;    &quot;;\ @\ "/>
    <numFmt numFmtId="166" formatCode="_-* #,##0_-;\-* #,##0_-;_-* &quot;-&quot;??_-;_-@_-"/>
    <numFmt numFmtId="168" formatCode="_-* #,##0\ _U_A_H_-;\-* #,##0\ _U_A_H_-;_-* &quot;-&quot;??\ _U_A_H_-;_-@_-"/>
    <numFmt numFmtId="169" formatCode="_-* #,##0.00\ _U_A_H_-;\-* #,##0.00\ _U_A_H_-;_-* &quot;-&quot;??\ _U_A_H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b/>
      <i/>
      <sz val="14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sz val="14"/>
      <color rgb="FFFF0000"/>
      <name val="Calibri"/>
      <family val="2"/>
      <charset val="204"/>
    </font>
    <font>
      <sz val="11"/>
      <color rgb="FF006100"/>
      <name val="Calibri"/>
      <family val="2"/>
      <charset val="204"/>
    </font>
    <font>
      <b/>
      <i/>
      <sz val="14"/>
      <color rgb="FF000080"/>
      <name val="Calibri"/>
      <family val="2"/>
      <charset val="204"/>
    </font>
    <font>
      <i/>
      <sz val="14"/>
      <color rgb="FF000000"/>
      <name val="Calibri"/>
      <family val="2"/>
      <charset val="204"/>
    </font>
    <font>
      <i/>
      <sz val="14"/>
      <color rgb="FFFF0000"/>
      <name val="Calibri"/>
      <family val="2"/>
      <charset val="204"/>
    </font>
    <font>
      <sz val="11"/>
      <color rgb="FF993300"/>
      <name val="Calibri"/>
      <family val="2"/>
      <charset val="204"/>
    </font>
    <font>
      <b/>
      <i/>
      <sz val="14"/>
      <name val="Calibri"/>
      <family val="2"/>
      <charset val="204"/>
    </font>
    <font>
      <i/>
      <sz val="14"/>
      <name val="Calibri"/>
      <family val="2"/>
      <charset val="204"/>
    </font>
    <font>
      <b/>
      <sz val="14"/>
      <color rgb="FFFF0000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C6EFCE"/>
        <bgColor rgb="FFCCFFCC"/>
      </patternFill>
    </fill>
    <fill>
      <patternFill patternType="solid">
        <fgColor rgb="FFFBE5D6"/>
        <bgColor rgb="FFFFDBB6"/>
      </patternFill>
    </fill>
    <fill>
      <patternFill patternType="solid">
        <fgColor theme="4" tint="0.39997558519241921"/>
        <bgColor rgb="FF00B050"/>
      </patternFill>
    </fill>
    <fill>
      <patternFill patternType="solid">
        <fgColor theme="5" tint="0.79998168889431442"/>
        <bgColor rgb="FFFFDBB6"/>
      </patternFill>
    </fill>
    <fill>
      <patternFill patternType="solid">
        <fgColor theme="5" tint="0.79998168889431442"/>
        <bgColor rgb="FFFED3CC"/>
      </patternFill>
    </fill>
    <fill>
      <patternFill patternType="solid">
        <fgColor rgb="FFFFFF99"/>
        <bgColor rgb="FFFFEB9C"/>
      </patternFill>
    </fill>
    <fill>
      <patternFill patternType="solid">
        <fgColor rgb="FFA9D18E"/>
        <bgColor rgb="FFCCCCCC"/>
      </patternFill>
    </fill>
    <fill>
      <patternFill patternType="solid">
        <fgColor theme="9" tint="0.39997558519241921"/>
        <bgColor rgb="FFA9D18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CCC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D428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165" fontId="1" fillId="0" borderId="0" applyBorder="0" applyProtection="0"/>
    <xf numFmtId="0" fontId="7" fillId="2" borderId="0" applyBorder="0" applyProtection="0"/>
    <xf numFmtId="9" fontId="1" fillId="0" borderId="0" applyBorder="0" applyProtection="0"/>
    <xf numFmtId="0" fontId="11" fillId="7" borderId="0" applyBorder="0" applyProtection="0"/>
  </cellStyleXfs>
  <cellXfs count="64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0" applyFont="1"/>
    <xf numFmtId="164" fontId="4" fillId="0" borderId="1" xfId="1" applyNumberFormat="1" applyFont="1" applyBorder="1"/>
    <xf numFmtId="165" fontId="4" fillId="0" borderId="1" xfId="2" applyFont="1" applyBorder="1" applyProtection="1"/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5" fillId="0" borderId="0" xfId="1" applyFont="1"/>
    <xf numFmtId="0" fontId="6" fillId="0" borderId="0" xfId="1" applyFont="1"/>
    <xf numFmtId="0" fontId="5" fillId="0" borderId="0" xfId="0" applyFont="1"/>
    <xf numFmtId="0" fontId="8" fillId="3" borderId="1" xfId="3" applyFont="1" applyFill="1" applyBorder="1" applyAlignment="1" applyProtection="1">
      <alignment vertical="top" wrapText="1"/>
    </xf>
    <xf numFmtId="164" fontId="4" fillId="4" borderId="1" xfId="2" applyNumberFormat="1" applyFont="1" applyFill="1" applyBorder="1" applyProtection="1"/>
    <xf numFmtId="0" fontId="4" fillId="5" borderId="1" xfId="1" applyFont="1" applyFill="1" applyBorder="1" applyAlignment="1">
      <alignment horizontal="center" vertical="top" wrapText="1"/>
    </xf>
    <xf numFmtId="0" fontId="4" fillId="6" borderId="1" xfId="1" applyFont="1" applyFill="1" applyBorder="1" applyAlignment="1">
      <alignment horizontal="center" vertical="top" wrapText="1"/>
    </xf>
    <xf numFmtId="0" fontId="4" fillId="5" borderId="5" xfId="1" applyFont="1" applyFill="1" applyBorder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5" fillId="0" borderId="0" xfId="1" applyFont="1" applyAlignment="1">
      <alignment horizontal="left" vertical="top" wrapText="1"/>
    </xf>
    <xf numFmtId="0" fontId="8" fillId="0" borderId="1" xfId="3" applyFont="1" applyFill="1" applyBorder="1" applyAlignment="1" applyProtection="1">
      <alignment vertical="top" wrapText="1"/>
    </xf>
    <xf numFmtId="165" fontId="9" fillId="0" borderId="1" xfId="2" applyFont="1" applyBorder="1" applyProtection="1"/>
    <xf numFmtId="0" fontId="4" fillId="0" borderId="1" xfId="1" applyFont="1" applyBorder="1" applyAlignment="1">
      <alignment horizontal="center" vertical="top" wrapText="1"/>
    </xf>
    <xf numFmtId="166" fontId="5" fillId="0" borderId="0" xfId="2" applyNumberFormat="1" applyFont="1" applyAlignment="1">
      <alignment horizontal="center" vertical="top" wrapText="1"/>
    </xf>
    <xf numFmtId="9" fontId="9" fillId="3" borderId="1" xfId="4" applyFont="1" applyFill="1" applyBorder="1" applyAlignment="1" applyProtection="1">
      <alignment horizontal="center"/>
      <protection locked="0"/>
    </xf>
    <xf numFmtId="164" fontId="9" fillId="0" borderId="1" xfId="2" applyNumberFormat="1" applyFont="1" applyBorder="1" applyProtection="1"/>
    <xf numFmtId="166" fontId="5" fillId="0" borderId="0" xfId="1" applyNumberFormat="1" applyFont="1" applyAlignment="1">
      <alignment horizontal="center" vertical="top" wrapText="1"/>
    </xf>
    <xf numFmtId="164" fontId="9" fillId="0" borderId="1" xfId="2" applyNumberFormat="1" applyFont="1" applyBorder="1" applyAlignment="1" applyProtection="1">
      <alignment horizontal="right"/>
    </xf>
    <xf numFmtId="2" fontId="3" fillId="0" borderId="1" xfId="1" applyNumberFormat="1" applyFont="1" applyBorder="1"/>
    <xf numFmtId="0" fontId="5" fillId="0" borderId="1" xfId="1" applyFont="1" applyBorder="1"/>
    <xf numFmtId="2" fontId="2" fillId="0" borderId="1" xfId="1" applyNumberFormat="1" applyFont="1" applyBorder="1"/>
    <xf numFmtId="0" fontId="4" fillId="0" borderId="0" xfId="1" applyFont="1"/>
    <xf numFmtId="0" fontId="9" fillId="0" borderId="0" xfId="1" applyFont="1"/>
    <xf numFmtId="9" fontId="10" fillId="3" borderId="1" xfId="4" applyFont="1" applyFill="1" applyBorder="1" applyAlignment="1" applyProtection="1">
      <alignment horizontal="left"/>
      <protection locked="0"/>
    </xf>
    <xf numFmtId="164" fontId="4" fillId="0" borderId="1" xfId="2" applyNumberFormat="1" applyFont="1" applyBorder="1" applyProtection="1"/>
    <xf numFmtId="164" fontId="4" fillId="8" borderId="1" xfId="5" applyNumberFormat="1" applyFont="1" applyFill="1" applyBorder="1" applyProtection="1"/>
    <xf numFmtId="165" fontId="4" fillId="8" borderId="1" xfId="2" applyFont="1" applyFill="1" applyBorder="1" applyProtection="1"/>
    <xf numFmtId="164" fontId="4" fillId="9" borderId="1" xfId="5" applyNumberFormat="1" applyFont="1" applyFill="1" applyBorder="1" applyProtection="1"/>
    <xf numFmtId="9" fontId="4" fillId="8" borderId="1" xfId="5" applyNumberFormat="1" applyFont="1" applyFill="1" applyBorder="1" applyAlignment="1" applyProtection="1">
      <alignment horizontal="center"/>
    </xf>
    <xf numFmtId="0" fontId="5" fillId="10" borderId="0" xfId="1" applyFont="1" applyFill="1"/>
    <xf numFmtId="0" fontId="12" fillId="11" borderId="0" xfId="1" applyFont="1" applyFill="1" applyAlignment="1">
      <alignment horizontal="left"/>
    </xf>
    <xf numFmtId="164" fontId="4" fillId="12" borderId="1" xfId="5" applyNumberFormat="1" applyFont="1" applyFill="1" applyBorder="1" applyProtection="1"/>
    <xf numFmtId="165" fontId="4" fillId="12" borderId="1" xfId="2" applyFont="1" applyFill="1" applyBorder="1" applyProtection="1"/>
    <xf numFmtId="0" fontId="5" fillId="10" borderId="0" xfId="0" applyFont="1" applyFill="1"/>
    <xf numFmtId="164" fontId="12" fillId="13" borderId="1" xfId="5" applyNumberFormat="1" applyFont="1" applyFill="1" applyBorder="1" applyAlignment="1" applyProtection="1">
      <alignment wrapText="1"/>
    </xf>
    <xf numFmtId="165" fontId="13" fillId="13" borderId="1" xfId="2" applyFont="1" applyFill="1" applyBorder="1" applyProtection="1"/>
    <xf numFmtId="168" fontId="13" fillId="13" borderId="1" xfId="2" applyNumberFormat="1" applyFont="1" applyFill="1" applyBorder="1" applyProtection="1"/>
    <xf numFmtId="0" fontId="9" fillId="10" borderId="0" xfId="1" applyFont="1" applyFill="1"/>
    <xf numFmtId="0" fontId="4" fillId="14" borderId="1" xfId="1" applyFont="1" applyFill="1" applyBorder="1"/>
    <xf numFmtId="165" fontId="5" fillId="14" borderId="1" xfId="2" applyFont="1" applyFill="1" applyBorder="1" applyProtection="1"/>
    <xf numFmtId="168" fontId="5" fillId="14" borderId="1" xfId="1" applyNumberFormat="1" applyFont="1" applyFill="1" applyBorder="1"/>
    <xf numFmtId="164" fontId="12" fillId="0" borderId="1" xfId="5" applyNumberFormat="1" applyFont="1" applyFill="1" applyBorder="1" applyAlignment="1" applyProtection="1">
      <alignment wrapText="1"/>
    </xf>
    <xf numFmtId="165" fontId="13" fillId="10" borderId="1" xfId="2" applyFont="1" applyFill="1" applyBorder="1" applyProtection="1"/>
    <xf numFmtId="169" fontId="12" fillId="13" borderId="1" xfId="2" applyNumberFormat="1" applyFont="1" applyFill="1" applyBorder="1" applyProtection="1"/>
    <xf numFmtId="165" fontId="9" fillId="0" borderId="0" xfId="2" applyFont="1" applyBorder="1" applyProtection="1"/>
    <xf numFmtId="0" fontId="14" fillId="0" borderId="0" xfId="0" applyFont="1"/>
    <xf numFmtId="0" fontId="4" fillId="15" borderId="1" xfId="1" applyFont="1" applyFill="1" applyBorder="1"/>
    <xf numFmtId="43" fontId="4" fillId="15" borderId="1" xfId="1" applyNumberFormat="1" applyFont="1" applyFill="1" applyBorder="1"/>
    <xf numFmtId="165" fontId="5" fillId="0" borderId="0" xfId="2" applyFont="1" applyBorder="1" applyProtection="1"/>
    <xf numFmtId="0" fontId="5" fillId="0" borderId="1" xfId="1" applyFont="1" applyBorder="1" applyAlignment="1">
      <alignment horizontal="right" vertical="top" wrapText="1"/>
    </xf>
    <xf numFmtId="9" fontId="5" fillId="0" borderId="1" xfId="1" applyNumberFormat="1" applyFont="1" applyBorder="1" applyAlignment="1">
      <alignment horizontal="center" vertical="top" wrapText="1"/>
    </xf>
    <xf numFmtId="166" fontId="5" fillId="0" borderId="1" xfId="2" applyNumberFormat="1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  <xf numFmtId="0" fontId="5" fillId="11" borderId="1" xfId="1" applyFont="1" applyFill="1" applyBorder="1"/>
    <xf numFmtId="9" fontId="5" fillId="0" borderId="0" xfId="1" applyNumberFormat="1" applyFont="1" applyAlignment="1">
      <alignment horizontal="left" vertical="top" wrapText="1"/>
    </xf>
  </cellXfs>
  <cellStyles count="6">
    <cellStyle name="Good 1" xfId="3"/>
    <cellStyle name="Neutral_July 2014" xfId="5"/>
    <cellStyle name="Обычный" xfId="0" builtinId="0"/>
    <cellStyle name="Обычный 2" xfId="1"/>
    <cellStyle name="Процентный 2" xfId="4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8"/>
  <sheetViews>
    <sheetView tabSelected="1" zoomScale="75" zoomScaleNormal="75" workbookViewId="0">
      <selection activeCell="G5" sqref="G5"/>
    </sheetView>
  </sheetViews>
  <sheetFormatPr defaultColWidth="14.6640625" defaultRowHeight="18" x14ac:dyDescent="0.35"/>
  <cols>
    <col min="1" max="1" width="49" style="9" customWidth="1"/>
    <col min="2" max="2" width="17.33203125" style="57" customWidth="1"/>
    <col min="3" max="3" width="16" style="9" bestFit="1" customWidth="1"/>
    <col min="4" max="4" width="16.88671875" style="9" customWidth="1"/>
    <col min="5" max="5" width="17.44140625" style="9" customWidth="1"/>
    <col min="6" max="6" width="16.44140625" style="9" customWidth="1"/>
    <col min="7" max="7" width="9.88671875" style="9" customWidth="1"/>
    <col min="8" max="8" width="6.77734375" style="9" customWidth="1"/>
    <col min="9" max="9" width="15.33203125" style="9" customWidth="1"/>
    <col min="10" max="10" width="19.33203125" style="9" customWidth="1"/>
    <col min="11" max="11" width="15.33203125" style="9" customWidth="1"/>
    <col min="12" max="12" width="17.88671875" style="9" customWidth="1"/>
    <col min="13" max="13" width="15.33203125" style="9" customWidth="1"/>
    <col min="14" max="14" width="24.21875" style="9" customWidth="1"/>
    <col min="15" max="15" width="15.33203125" style="9" customWidth="1"/>
    <col min="16" max="16" width="18.44140625" style="9" customWidth="1"/>
    <col min="17" max="17" width="32.77734375" style="9" customWidth="1"/>
    <col min="18" max="18" width="25.5546875" style="9" customWidth="1"/>
    <col min="19" max="58" width="14" style="9" customWidth="1"/>
    <col min="59" max="16384" width="14.6640625" style="11"/>
  </cols>
  <sheetData>
    <row r="1" spans="1:58" s="3" customFormat="1" x14ac:dyDescent="0.35">
      <c r="A1" s="1" t="s">
        <v>0</v>
      </c>
      <c r="B1" s="2"/>
      <c r="C1" s="2"/>
      <c r="D1" s="2"/>
      <c r="E1" s="2"/>
      <c r="F1" s="2"/>
      <c r="G1" s="2"/>
      <c r="J1" s="1" t="s">
        <v>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39.75" customHeight="1" x14ac:dyDescent="0.35">
      <c r="A2" s="4"/>
      <c r="B2" s="5"/>
      <c r="C2" s="6" t="s">
        <v>4</v>
      </c>
      <c r="D2" s="7"/>
      <c r="E2" s="7"/>
      <c r="F2" s="8"/>
      <c r="I2" s="62" t="s">
        <v>5</v>
      </c>
      <c r="J2" s="62" t="s">
        <v>6</v>
      </c>
      <c r="K2" s="62" t="s">
        <v>7</v>
      </c>
      <c r="L2" s="62"/>
      <c r="M2" s="62" t="s">
        <v>8</v>
      </c>
      <c r="N2" s="62" t="s">
        <v>9</v>
      </c>
      <c r="O2" s="62" t="s">
        <v>10</v>
      </c>
      <c r="Q2" s="1" t="s">
        <v>11</v>
      </c>
      <c r="R2" s="10" t="s">
        <v>12</v>
      </c>
    </row>
    <row r="3" spans="1:58" x14ac:dyDescent="0.35">
      <c r="A3" s="12" t="s">
        <v>13</v>
      </c>
      <c r="B3" s="13">
        <v>9900</v>
      </c>
      <c r="C3" s="14">
        <v>1</v>
      </c>
      <c r="D3" s="15">
        <v>2</v>
      </c>
      <c r="E3" s="16">
        <v>4</v>
      </c>
      <c r="F3" s="14">
        <v>5</v>
      </c>
      <c r="H3" s="17"/>
      <c r="I3" s="61">
        <v>1</v>
      </c>
      <c r="J3" s="61">
        <v>6000</v>
      </c>
      <c r="K3" s="61"/>
      <c r="L3" s="61"/>
      <c r="M3" s="61"/>
      <c r="N3" s="61"/>
      <c r="O3" s="61"/>
      <c r="P3" s="17"/>
      <c r="Q3" s="18" t="s">
        <v>14</v>
      </c>
      <c r="R3" s="18" t="s">
        <v>15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 x14ac:dyDescent="0.35">
      <c r="A4" s="19" t="s">
        <v>16</v>
      </c>
      <c r="B4" s="20"/>
      <c r="C4" s="21">
        <v>40</v>
      </c>
      <c r="D4" s="21">
        <v>80</v>
      </c>
      <c r="E4" s="21">
        <v>160</v>
      </c>
      <c r="F4" s="21">
        <f>6*40</f>
        <v>240</v>
      </c>
      <c r="H4" s="17"/>
      <c r="I4" s="61">
        <v>5</v>
      </c>
      <c r="J4" s="61">
        <f>I4*$J$3</f>
        <v>30000</v>
      </c>
      <c r="K4" s="59">
        <v>0.25</v>
      </c>
      <c r="L4" s="60">
        <f>J4*(1-K4)</f>
        <v>22500</v>
      </c>
      <c r="M4" s="61">
        <v>1</v>
      </c>
      <c r="N4" s="61">
        <f>I4+M4</f>
        <v>6</v>
      </c>
      <c r="O4" s="60">
        <f>L4/N4</f>
        <v>3750</v>
      </c>
      <c r="P4" s="17"/>
      <c r="Q4" s="18" t="s">
        <v>17</v>
      </c>
      <c r="R4" s="18" t="s">
        <v>18</v>
      </c>
      <c r="S4" s="17" t="s">
        <v>19</v>
      </c>
      <c r="T4" s="17" t="s">
        <v>20</v>
      </c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</row>
    <row r="5" spans="1:58" x14ac:dyDescent="0.35">
      <c r="A5" s="23" t="s">
        <v>21</v>
      </c>
      <c r="B5" s="24">
        <v>9900</v>
      </c>
      <c r="C5" s="24">
        <v>9900</v>
      </c>
      <c r="D5" s="24">
        <v>9900</v>
      </c>
      <c r="E5" s="24">
        <v>9900</v>
      </c>
      <c r="F5" s="24">
        <v>9900</v>
      </c>
      <c r="I5" s="61">
        <v>10</v>
      </c>
      <c r="J5" s="61">
        <f>I5*$J$3</f>
        <v>60000</v>
      </c>
      <c r="K5" s="59">
        <v>0.35</v>
      </c>
      <c r="L5" s="60">
        <f>J5*(1-K5)</f>
        <v>39000</v>
      </c>
      <c r="M5" s="61">
        <v>2</v>
      </c>
      <c r="N5" s="61">
        <f>I5+M5</f>
        <v>12</v>
      </c>
      <c r="O5" s="60">
        <f>L5/N5</f>
        <v>3250</v>
      </c>
      <c r="P5" s="17"/>
      <c r="Q5" s="9" t="s">
        <v>22</v>
      </c>
    </row>
    <row r="6" spans="1:58" ht="36.6" customHeight="1" x14ac:dyDescent="0.35">
      <c r="A6" s="23"/>
      <c r="B6" s="24">
        <v>1</v>
      </c>
      <c r="C6" s="24"/>
      <c r="D6" s="24">
        <v>9900</v>
      </c>
      <c r="E6" s="24">
        <v>9900</v>
      </c>
      <c r="F6" s="24">
        <v>9900</v>
      </c>
      <c r="O6" s="22"/>
      <c r="P6" s="17"/>
      <c r="Q6" s="9" t="s">
        <v>23</v>
      </c>
      <c r="R6" s="9" t="s">
        <v>24</v>
      </c>
    </row>
    <row r="7" spans="1:58" x14ac:dyDescent="0.35">
      <c r="A7" s="23"/>
      <c r="B7" s="24"/>
      <c r="C7" s="24"/>
      <c r="D7" s="26"/>
      <c r="E7" s="24">
        <v>9900</v>
      </c>
      <c r="F7" s="24">
        <v>9900</v>
      </c>
      <c r="I7" s="2" t="s">
        <v>52</v>
      </c>
      <c r="J7" s="9" t="s">
        <v>51</v>
      </c>
      <c r="K7" s="63" t="s">
        <v>43</v>
      </c>
      <c r="L7" s="63"/>
      <c r="M7" s="25">
        <f>L5/10</f>
        <v>3900</v>
      </c>
      <c r="N7" s="18" t="s">
        <v>53</v>
      </c>
      <c r="O7" s="22"/>
      <c r="P7" s="17"/>
    </row>
    <row r="8" spans="1:58" x14ac:dyDescent="0.35">
      <c r="A8" s="23"/>
      <c r="B8" s="24"/>
      <c r="C8" s="24"/>
      <c r="D8" s="24"/>
      <c r="E8" s="24">
        <v>9900</v>
      </c>
      <c r="F8" s="24">
        <v>9900</v>
      </c>
      <c r="P8" s="17"/>
      <c r="Q8" s="27">
        <f>29900/365</f>
        <v>81.917808219178085</v>
      </c>
      <c r="R8" s="28" t="s">
        <v>25</v>
      </c>
    </row>
    <row r="9" spans="1:58" x14ac:dyDescent="0.35">
      <c r="A9" s="23"/>
      <c r="B9" s="24"/>
      <c r="C9" s="24"/>
      <c r="D9" s="24"/>
      <c r="E9" s="24"/>
      <c r="F9" s="24">
        <v>9900</v>
      </c>
      <c r="I9" s="3" t="s">
        <v>2</v>
      </c>
      <c r="J9" s="3"/>
      <c r="K9" s="3" t="s">
        <v>3</v>
      </c>
      <c r="L9" s="3"/>
      <c r="M9" s="3" t="s">
        <v>44</v>
      </c>
      <c r="N9" s="17"/>
      <c r="P9" s="17"/>
      <c r="Q9" s="29">
        <f>Q8/G20</f>
        <v>1.6383561643835618</v>
      </c>
      <c r="R9" s="28" t="s">
        <v>26</v>
      </c>
    </row>
    <row r="10" spans="1:58" x14ac:dyDescent="0.35">
      <c r="A10" s="23"/>
      <c r="B10" s="24"/>
      <c r="C10" s="24"/>
      <c r="D10" s="24"/>
      <c r="E10" s="24"/>
      <c r="F10" s="24">
        <v>9900</v>
      </c>
      <c r="G10" s="30"/>
    </row>
    <row r="11" spans="1:58" x14ac:dyDescent="0.35">
      <c r="A11" s="23"/>
      <c r="B11" s="24"/>
      <c r="C11" s="24"/>
      <c r="D11" s="24"/>
      <c r="E11" s="24"/>
      <c r="F11" s="24"/>
      <c r="G11" s="30"/>
      <c r="I11" s="9" t="s">
        <v>45</v>
      </c>
    </row>
    <row r="12" spans="1:58" x14ac:dyDescent="0.35">
      <c r="A12" s="23"/>
      <c r="B12" s="24"/>
      <c r="C12" s="24"/>
      <c r="D12" s="24"/>
      <c r="E12" s="24"/>
      <c r="F12" s="24"/>
      <c r="G12" s="30"/>
      <c r="I12" s="62" t="s">
        <v>46</v>
      </c>
      <c r="J12" s="62" t="s">
        <v>50</v>
      </c>
      <c r="K12" s="62" t="s">
        <v>47</v>
      </c>
      <c r="L12" s="62" t="s">
        <v>48</v>
      </c>
      <c r="M12" s="62"/>
      <c r="N12" s="62" t="s">
        <v>49</v>
      </c>
      <c r="O12" s="62" t="s">
        <v>10</v>
      </c>
    </row>
    <row r="13" spans="1:58" x14ac:dyDescent="0.35">
      <c r="A13" s="23"/>
      <c r="B13" s="24"/>
      <c r="C13" s="24"/>
      <c r="D13" s="24"/>
      <c r="E13" s="24"/>
      <c r="F13" s="24"/>
      <c r="G13" s="31"/>
      <c r="I13" s="28">
        <v>1</v>
      </c>
      <c r="J13" s="28">
        <v>9900</v>
      </c>
      <c r="K13" s="28"/>
      <c r="L13" s="28"/>
      <c r="M13" s="28"/>
      <c r="N13" s="28"/>
      <c r="O13" s="28"/>
    </row>
    <row r="14" spans="1:58" x14ac:dyDescent="0.35">
      <c r="A14" s="32" t="s">
        <v>27</v>
      </c>
      <c r="B14" s="24"/>
      <c r="C14" s="24"/>
      <c r="D14" s="24">
        <f>D3*B3</f>
        <v>19800</v>
      </c>
      <c r="E14" s="33">
        <f>B3*E3</f>
        <v>39600</v>
      </c>
      <c r="F14" s="33">
        <f>B3*F3</f>
        <v>49500</v>
      </c>
      <c r="G14" s="31"/>
      <c r="I14" s="28">
        <v>2</v>
      </c>
      <c r="J14" s="58">
        <f>$J$13*I14</f>
        <v>19800</v>
      </c>
      <c r="K14" s="59">
        <v>0.2</v>
      </c>
      <c r="L14" s="60">
        <f>J14*(1-K14)</f>
        <v>15840</v>
      </c>
      <c r="M14" s="61"/>
      <c r="N14" s="61">
        <v>6</v>
      </c>
      <c r="O14" s="60">
        <f>L14/N14</f>
        <v>2640</v>
      </c>
    </row>
    <row r="15" spans="1:58" x14ac:dyDescent="0.35">
      <c r="A15" s="34" t="s">
        <v>28</v>
      </c>
      <c r="B15" s="35"/>
      <c r="C15" s="34">
        <f>SUM(C5:C13)</f>
        <v>9900</v>
      </c>
      <c r="D15" s="36">
        <f>SUM(D5:D8)</f>
        <v>19800</v>
      </c>
      <c r="E15" s="34">
        <f>SUM(E5:E9)</f>
        <v>39600</v>
      </c>
      <c r="F15" s="34">
        <f>SUM(F5:F12)</f>
        <v>59400</v>
      </c>
      <c r="I15" s="28">
        <v>4</v>
      </c>
      <c r="J15" s="58">
        <f>$J$13*I15</f>
        <v>39600</v>
      </c>
      <c r="K15" s="59">
        <v>0.25</v>
      </c>
      <c r="L15" s="60">
        <f>J15*(1-K15)</f>
        <v>29700</v>
      </c>
      <c r="M15" s="61"/>
      <c r="N15" s="61">
        <v>12</v>
      </c>
      <c r="O15" s="60">
        <f>L15/N15</f>
        <v>2475</v>
      </c>
    </row>
    <row r="16" spans="1:58" x14ac:dyDescent="0.35">
      <c r="A16" s="34"/>
      <c r="B16" s="35"/>
      <c r="C16" s="34"/>
      <c r="D16" s="37">
        <v>0.2</v>
      </c>
      <c r="E16" s="37">
        <v>0.25</v>
      </c>
      <c r="F16" s="37">
        <v>0.35</v>
      </c>
      <c r="I16" s="28">
        <v>6</v>
      </c>
      <c r="J16" s="58">
        <f>$J$13*I16</f>
        <v>59400</v>
      </c>
      <c r="K16" s="59">
        <v>0.35</v>
      </c>
      <c r="L16" s="60">
        <f>J16*(1-K16)</f>
        <v>38610</v>
      </c>
      <c r="M16" s="61"/>
      <c r="N16" s="61">
        <v>18</v>
      </c>
      <c r="O16" s="60">
        <f>L16/N16</f>
        <v>2145</v>
      </c>
    </row>
    <row r="17" spans="1:58" x14ac:dyDescent="0.35">
      <c r="A17" s="34" t="s">
        <v>29</v>
      </c>
      <c r="B17" s="35"/>
      <c r="C17" s="34"/>
      <c r="D17" s="36">
        <v>0</v>
      </c>
      <c r="E17" s="34"/>
      <c r="F17" s="34"/>
    </row>
    <row r="18" spans="1:58" x14ac:dyDescent="0.35">
      <c r="A18" s="34" t="s">
        <v>30</v>
      </c>
      <c r="B18" s="35"/>
      <c r="C18" s="34"/>
      <c r="D18" s="36">
        <f>(1-D16)*D15-D17</f>
        <v>15840</v>
      </c>
      <c r="E18" s="36">
        <f t="shared" ref="E18:F18" si="0">(1-E16)*E15-E17</f>
        <v>29700</v>
      </c>
      <c r="F18" s="36">
        <f t="shared" si="0"/>
        <v>38610</v>
      </c>
      <c r="I18" s="38"/>
      <c r="J18" s="38"/>
      <c r="K18" s="38"/>
    </row>
    <row r="19" spans="1:58" x14ac:dyDescent="0.35">
      <c r="A19" s="34" t="s">
        <v>31</v>
      </c>
      <c r="B19" s="35"/>
      <c r="C19" s="34">
        <f>C15/$G$20</f>
        <v>198</v>
      </c>
      <c r="D19" s="34">
        <f>D18/$G$20</f>
        <v>316.8</v>
      </c>
      <c r="E19" s="34">
        <f t="shared" ref="E19:F19" si="1">E18/$G$20</f>
        <v>594</v>
      </c>
      <c r="F19" s="34">
        <f t="shared" si="1"/>
        <v>772.2</v>
      </c>
      <c r="G19" s="39" t="s">
        <v>32</v>
      </c>
      <c r="L19" s="38"/>
      <c r="M19" s="38"/>
      <c r="N19" s="38"/>
      <c r="O19" s="38"/>
    </row>
    <row r="20" spans="1:58" x14ac:dyDescent="0.35">
      <c r="A20" s="34" t="s">
        <v>33</v>
      </c>
      <c r="B20" s="35"/>
      <c r="C20" s="34"/>
      <c r="D20" s="34">
        <f>D14-D18</f>
        <v>3960</v>
      </c>
      <c r="E20" s="34">
        <f t="shared" ref="E20:F20" si="2">E14-E18</f>
        <v>9900</v>
      </c>
      <c r="F20" s="34">
        <f t="shared" si="2"/>
        <v>10890</v>
      </c>
      <c r="G20" s="39">
        <v>50</v>
      </c>
    </row>
    <row r="21" spans="1:58" s="42" customFormat="1" x14ac:dyDescent="0.35">
      <c r="A21" s="40"/>
      <c r="B21" s="41"/>
      <c r="C21" s="40"/>
      <c r="D21" s="40"/>
      <c r="E21" s="40"/>
      <c r="F21" s="40"/>
      <c r="G21" s="31"/>
      <c r="H21" s="38"/>
      <c r="I21" s="9"/>
      <c r="J21" s="9"/>
      <c r="K21" s="9"/>
      <c r="L21" s="9"/>
      <c r="M21" s="9"/>
      <c r="N21" s="9"/>
      <c r="O21" s="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</row>
    <row r="22" spans="1:58" x14ac:dyDescent="0.35">
      <c r="A22" s="43" t="s">
        <v>34</v>
      </c>
      <c r="B22" s="44"/>
      <c r="C22" s="45">
        <f>C15</f>
        <v>9900</v>
      </c>
      <c r="D22" s="45">
        <f>D18/D3</f>
        <v>7920</v>
      </c>
      <c r="E22" s="45">
        <f t="shared" ref="E22:F22" si="3">E18/E3</f>
        <v>7425</v>
      </c>
      <c r="F22" s="45">
        <f t="shared" si="3"/>
        <v>7722</v>
      </c>
      <c r="G22" s="46"/>
    </row>
    <row r="23" spans="1:58" x14ac:dyDescent="0.35">
      <c r="A23" s="43" t="s">
        <v>31</v>
      </c>
      <c r="B23" s="44"/>
      <c r="C23" s="45">
        <f>C22/$G$20</f>
        <v>198</v>
      </c>
      <c r="D23" s="45">
        <f>D22/$G$20</f>
        <v>158.4</v>
      </c>
      <c r="E23" s="45">
        <f>E22/$G$20</f>
        <v>148.5</v>
      </c>
      <c r="F23" s="45">
        <f>F22/$G$20</f>
        <v>154.44</v>
      </c>
      <c r="G23" s="31"/>
    </row>
    <row r="24" spans="1:58" x14ac:dyDescent="0.35">
      <c r="A24" s="47" t="s">
        <v>35</v>
      </c>
      <c r="B24" s="48"/>
      <c r="C24" s="49">
        <f>C15/3</f>
        <v>3300</v>
      </c>
      <c r="D24" s="49">
        <f>D18/6</f>
        <v>2640</v>
      </c>
      <c r="E24" s="49">
        <f>E18/12</f>
        <v>2475</v>
      </c>
      <c r="F24" s="49">
        <f>F18/18</f>
        <v>2145</v>
      </c>
      <c r="G24" s="31"/>
    </row>
    <row r="25" spans="1:58" x14ac:dyDescent="0.35">
      <c r="A25" s="47" t="s">
        <v>31</v>
      </c>
      <c r="B25" s="48"/>
      <c r="C25" s="49">
        <f>C24/$G$20</f>
        <v>66</v>
      </c>
      <c r="D25" s="49">
        <f>D24/$G$20</f>
        <v>52.8</v>
      </c>
      <c r="E25" s="49">
        <f>E24/$G$20</f>
        <v>49.5</v>
      </c>
      <c r="F25" s="49">
        <f>F24/$G$20</f>
        <v>42.9</v>
      </c>
      <c r="G25" s="31"/>
    </row>
    <row r="26" spans="1:58" x14ac:dyDescent="0.35">
      <c r="A26" s="50" t="s">
        <v>36</v>
      </c>
      <c r="B26" s="51"/>
      <c r="C26" s="45">
        <f>C15/C4</f>
        <v>247.5</v>
      </c>
      <c r="D26" s="45">
        <f>D18/D4</f>
        <v>198</v>
      </c>
      <c r="E26" s="45">
        <f t="shared" ref="E26:F26" si="4">E18/E4</f>
        <v>185.625</v>
      </c>
      <c r="F26" s="45">
        <f t="shared" si="4"/>
        <v>160.875</v>
      </c>
      <c r="G26" s="31"/>
    </row>
    <row r="27" spans="1:58" x14ac:dyDescent="0.35">
      <c r="A27" s="50" t="s">
        <v>37</v>
      </c>
      <c r="B27" s="51"/>
      <c r="C27" s="52">
        <f>C26/$G$20</f>
        <v>4.95</v>
      </c>
      <c r="D27" s="52">
        <f>D26/$G$20</f>
        <v>3.96</v>
      </c>
      <c r="E27" s="52">
        <f>E26/$G$20</f>
        <v>3.7124999999999999</v>
      </c>
      <c r="F27" s="52">
        <f>F26/$G$20</f>
        <v>3.2174999999999998</v>
      </c>
      <c r="G27" s="31"/>
    </row>
    <row r="28" spans="1:58" ht="15" customHeight="1" x14ac:dyDescent="0.35">
      <c r="A28" s="53"/>
      <c r="B28" s="53"/>
      <c r="C28" s="31"/>
      <c r="D28" s="31"/>
      <c r="E28" s="31"/>
      <c r="F28" s="31"/>
      <c r="G28" s="31"/>
    </row>
    <row r="29" spans="1:58" x14ac:dyDescent="0.35">
      <c r="A29" s="54" t="s">
        <v>38</v>
      </c>
      <c r="B29" s="30"/>
      <c r="C29" s="31"/>
      <c r="D29" s="31"/>
      <c r="E29" s="31"/>
      <c r="F29" s="31"/>
    </row>
    <row r="30" spans="1:58" x14ac:dyDescent="0.35">
      <c r="A30" s="55" t="s">
        <v>39</v>
      </c>
      <c r="B30" s="56">
        <v>2990</v>
      </c>
      <c r="C30" s="31"/>
      <c r="D30" s="1" t="s">
        <v>40</v>
      </c>
      <c r="E30" s="31"/>
      <c r="F30" s="31"/>
      <c r="G30" s="31"/>
    </row>
    <row r="31" spans="1:58" x14ac:dyDescent="0.35">
      <c r="A31" s="55" t="s">
        <v>41</v>
      </c>
      <c r="B31" s="56">
        <f>2990+B3</f>
        <v>12890</v>
      </c>
      <c r="C31" s="31"/>
      <c r="D31" s="31" t="s">
        <v>42</v>
      </c>
      <c r="E31" s="31"/>
      <c r="F31" s="31"/>
    </row>
    <row r="32" spans="1:58" x14ac:dyDescent="0.35">
      <c r="C32" s="31"/>
      <c r="D32" s="31"/>
      <c r="E32" s="31"/>
      <c r="F32" s="31"/>
    </row>
    <row r="33" spans="1:6" s="9" customFormat="1" x14ac:dyDescent="0.35">
      <c r="B33" s="53"/>
      <c r="C33" s="31"/>
      <c r="D33" s="31"/>
      <c r="E33" s="31"/>
      <c r="F33" s="31"/>
    </row>
    <row r="34" spans="1:6" s="9" customFormat="1" x14ac:dyDescent="0.35">
      <c r="B34" s="57"/>
      <c r="C34" s="31"/>
      <c r="D34" s="31"/>
      <c r="E34" s="31"/>
      <c r="F34" s="31"/>
    </row>
    <row r="35" spans="1:6" s="9" customFormat="1" x14ac:dyDescent="0.35">
      <c r="B35" s="53"/>
      <c r="C35" s="31"/>
      <c r="D35" s="31"/>
      <c r="E35" s="31"/>
      <c r="F35" s="31"/>
    </row>
    <row r="36" spans="1:6" s="9" customFormat="1" x14ac:dyDescent="0.35">
      <c r="B36" s="57"/>
      <c r="C36" s="31"/>
      <c r="D36" s="31"/>
      <c r="E36" s="31"/>
      <c r="F36" s="31"/>
    </row>
    <row r="37" spans="1:6" s="9" customFormat="1" x14ac:dyDescent="0.35">
      <c r="B37" s="53"/>
      <c r="C37" s="31"/>
      <c r="D37" s="31"/>
      <c r="E37" s="31"/>
      <c r="F37" s="31"/>
    </row>
    <row r="38" spans="1:6" s="9" customFormat="1" x14ac:dyDescent="0.35">
      <c r="B38" s="57"/>
      <c r="C38" s="31"/>
      <c r="D38" s="31"/>
      <c r="E38" s="31"/>
      <c r="F38" s="31"/>
    </row>
    <row r="39" spans="1:6" s="9" customFormat="1" x14ac:dyDescent="0.35">
      <c r="A39" s="31"/>
      <c r="B39" s="53"/>
      <c r="C39" s="31"/>
      <c r="D39" s="31"/>
      <c r="E39" s="31"/>
      <c r="F39" s="31"/>
    </row>
    <row r="40" spans="1:6" s="9" customFormat="1" x14ac:dyDescent="0.35">
      <c r="B40" s="57"/>
      <c r="C40" s="31"/>
      <c r="D40" s="31"/>
      <c r="E40" s="31"/>
      <c r="F40" s="31"/>
    </row>
    <row r="41" spans="1:6" s="9" customFormat="1" x14ac:dyDescent="0.35">
      <c r="A41" s="31"/>
      <c r="B41" s="53"/>
      <c r="C41" s="31"/>
      <c r="D41" s="31"/>
      <c r="E41" s="31"/>
      <c r="F41" s="31"/>
    </row>
    <row r="42" spans="1:6" s="9" customFormat="1" x14ac:dyDescent="0.35">
      <c r="A42" s="31"/>
      <c r="B42" s="53"/>
      <c r="C42" s="31"/>
      <c r="D42" s="31"/>
      <c r="E42" s="31"/>
      <c r="F42" s="31"/>
    </row>
    <row r="43" spans="1:6" s="9" customFormat="1" x14ac:dyDescent="0.35">
      <c r="A43" s="31"/>
      <c r="B43" s="53"/>
      <c r="C43" s="31"/>
      <c r="D43" s="31"/>
      <c r="E43" s="31"/>
      <c r="F43" s="31"/>
    </row>
    <row r="44" spans="1:6" s="9" customFormat="1" x14ac:dyDescent="0.35">
      <c r="A44" s="31"/>
      <c r="B44" s="53"/>
      <c r="C44" s="31"/>
      <c r="D44" s="31"/>
      <c r="E44" s="31"/>
      <c r="F44" s="31"/>
    </row>
    <row r="45" spans="1:6" s="9" customFormat="1" x14ac:dyDescent="0.35">
      <c r="A45" s="31"/>
      <c r="B45" s="53"/>
      <c r="C45" s="31"/>
      <c r="D45" s="31"/>
      <c r="E45" s="31"/>
      <c r="F45" s="31"/>
    </row>
    <row r="46" spans="1:6" s="9" customFormat="1" x14ac:dyDescent="0.35">
      <c r="A46" s="31"/>
      <c r="B46" s="53"/>
      <c r="C46" s="31"/>
      <c r="D46" s="31"/>
      <c r="E46" s="31"/>
      <c r="F46" s="31"/>
    </row>
    <row r="47" spans="1:6" s="9" customFormat="1" x14ac:dyDescent="0.35">
      <c r="A47" s="31"/>
      <c r="B47" s="53"/>
      <c r="C47" s="31"/>
      <c r="D47" s="31"/>
      <c r="E47" s="31"/>
      <c r="F47" s="31"/>
    </row>
    <row r="48" spans="1:6" s="9" customFormat="1" x14ac:dyDescent="0.35">
      <c r="A48" s="31"/>
      <c r="B48" s="53"/>
      <c r="C48" s="31"/>
      <c r="D48" s="31"/>
      <c r="E48" s="31"/>
      <c r="F48" s="31"/>
    </row>
    <row r="49" spans="1:6" s="9" customFormat="1" x14ac:dyDescent="0.35">
      <c r="A49" s="31"/>
      <c r="B49" s="53"/>
      <c r="C49" s="31"/>
      <c r="D49" s="31"/>
      <c r="E49" s="31"/>
      <c r="F49" s="31"/>
    </row>
    <row r="50" spans="1:6" s="9" customFormat="1" x14ac:dyDescent="0.35">
      <c r="A50" s="31"/>
      <c r="B50" s="53"/>
      <c r="C50" s="31"/>
      <c r="D50" s="31"/>
      <c r="E50" s="31"/>
      <c r="F50" s="31"/>
    </row>
    <row r="51" spans="1:6" s="9" customFormat="1" x14ac:dyDescent="0.35">
      <c r="A51" s="31"/>
      <c r="B51" s="53"/>
      <c r="C51" s="31"/>
      <c r="D51" s="31"/>
      <c r="E51" s="31"/>
      <c r="F51" s="31"/>
    </row>
    <row r="52" spans="1:6" s="9" customFormat="1" x14ac:dyDescent="0.35">
      <c r="A52" s="31"/>
      <c r="B52" s="53"/>
      <c r="C52" s="31"/>
      <c r="D52" s="31"/>
      <c r="E52" s="31"/>
      <c r="F52" s="31"/>
    </row>
    <row r="53" spans="1:6" s="9" customFormat="1" x14ac:dyDescent="0.35">
      <c r="A53" s="31"/>
      <c r="B53" s="53"/>
      <c r="C53" s="31"/>
      <c r="D53" s="31"/>
      <c r="E53" s="31"/>
      <c r="F53" s="31"/>
    </row>
    <row r="54" spans="1:6" s="9" customFormat="1" x14ac:dyDescent="0.35">
      <c r="A54" s="31"/>
      <c r="B54" s="53"/>
      <c r="C54" s="31"/>
      <c r="D54" s="31"/>
      <c r="E54" s="31"/>
      <c r="F54" s="31"/>
    </row>
    <row r="55" spans="1:6" s="9" customFormat="1" x14ac:dyDescent="0.35">
      <c r="A55" s="31"/>
      <c r="B55" s="53"/>
      <c r="C55" s="31"/>
      <c r="D55" s="31"/>
      <c r="E55" s="31"/>
      <c r="F55" s="31"/>
    </row>
    <row r="56" spans="1:6" s="9" customFormat="1" x14ac:dyDescent="0.35">
      <c r="A56" s="31"/>
      <c r="B56" s="53"/>
      <c r="C56" s="31"/>
      <c r="D56" s="31"/>
      <c r="E56" s="31"/>
      <c r="F56" s="31"/>
    </row>
    <row r="57" spans="1:6" s="9" customFormat="1" x14ac:dyDescent="0.35">
      <c r="A57" s="31"/>
      <c r="B57" s="53"/>
      <c r="C57" s="31"/>
      <c r="D57" s="31"/>
      <c r="E57" s="31"/>
      <c r="F57" s="31"/>
    </row>
    <row r="58" spans="1:6" s="9" customFormat="1" x14ac:dyDescent="0.35">
      <c r="A58" s="31"/>
      <c r="B58" s="53"/>
      <c r="C58" s="31"/>
      <c r="D58" s="31"/>
      <c r="E58" s="31"/>
      <c r="F58" s="31"/>
    </row>
    <row r="59" spans="1:6" s="9" customFormat="1" x14ac:dyDescent="0.35">
      <c r="A59" s="31"/>
      <c r="B59" s="53"/>
      <c r="C59" s="31"/>
      <c r="D59" s="31"/>
      <c r="E59" s="31"/>
      <c r="F59" s="31"/>
    </row>
    <row r="60" spans="1:6" s="9" customFormat="1" x14ac:dyDescent="0.35">
      <c r="A60" s="31"/>
      <c r="B60" s="53"/>
      <c r="C60" s="31"/>
      <c r="D60" s="31"/>
      <c r="E60" s="31"/>
      <c r="F60" s="31"/>
    </row>
    <row r="61" spans="1:6" s="9" customFormat="1" x14ac:dyDescent="0.35">
      <c r="A61" s="31"/>
      <c r="B61" s="53"/>
      <c r="C61" s="31"/>
      <c r="D61" s="31"/>
      <c r="E61" s="31"/>
      <c r="F61" s="31"/>
    </row>
    <row r="62" spans="1:6" s="9" customFormat="1" x14ac:dyDescent="0.35">
      <c r="A62" s="31"/>
      <c r="B62" s="53"/>
      <c r="C62" s="31"/>
      <c r="D62" s="31"/>
      <c r="E62" s="31"/>
      <c r="F62" s="31"/>
    </row>
    <row r="63" spans="1:6" s="9" customFormat="1" x14ac:dyDescent="0.35">
      <c r="A63" s="31"/>
      <c r="B63" s="53"/>
      <c r="C63" s="31"/>
      <c r="D63" s="31"/>
      <c r="E63" s="31"/>
      <c r="F63" s="31"/>
    </row>
    <row r="64" spans="1:6" s="9" customFormat="1" x14ac:dyDescent="0.35">
      <c r="A64" s="31"/>
      <c r="B64" s="53"/>
      <c r="C64" s="31"/>
      <c r="D64" s="31"/>
      <c r="E64" s="31"/>
      <c r="F64" s="31"/>
    </row>
    <row r="65" spans="1:6" s="9" customFormat="1" x14ac:dyDescent="0.35">
      <c r="A65" s="31"/>
      <c r="B65" s="53"/>
      <c r="C65" s="31"/>
      <c r="D65" s="31"/>
      <c r="E65" s="31"/>
      <c r="F65" s="31"/>
    </row>
    <row r="66" spans="1:6" s="9" customFormat="1" x14ac:dyDescent="0.35">
      <c r="A66" s="31"/>
      <c r="B66" s="53"/>
      <c r="C66" s="31"/>
      <c r="D66" s="31"/>
      <c r="E66" s="31"/>
      <c r="F66" s="31"/>
    </row>
    <row r="67" spans="1:6" s="9" customFormat="1" x14ac:dyDescent="0.35">
      <c r="A67" s="31"/>
      <c r="B67" s="53"/>
      <c r="C67" s="31"/>
      <c r="D67" s="31"/>
      <c r="E67" s="31"/>
      <c r="F67" s="31"/>
    </row>
    <row r="68" spans="1:6" s="9" customFormat="1" x14ac:dyDescent="0.35">
      <c r="A68" s="31"/>
      <c r="B68" s="53"/>
      <c r="C68" s="31"/>
      <c r="D68" s="31"/>
      <c r="E68" s="31"/>
      <c r="F68" s="31"/>
    </row>
    <row r="69" spans="1:6" s="9" customFormat="1" x14ac:dyDescent="0.35">
      <c r="A69" s="31"/>
      <c r="B69" s="53"/>
      <c r="C69" s="31"/>
      <c r="D69" s="31"/>
      <c r="E69" s="31"/>
      <c r="F69" s="31"/>
    </row>
    <row r="70" spans="1:6" s="9" customFormat="1" x14ac:dyDescent="0.35">
      <c r="A70" s="31"/>
      <c r="B70" s="53"/>
      <c r="C70" s="31"/>
      <c r="D70" s="31"/>
      <c r="E70" s="31"/>
      <c r="F70" s="31"/>
    </row>
    <row r="71" spans="1:6" s="9" customFormat="1" x14ac:dyDescent="0.35">
      <c r="A71" s="31"/>
      <c r="B71" s="53"/>
      <c r="C71" s="31"/>
      <c r="D71" s="31"/>
      <c r="E71" s="31"/>
      <c r="F71" s="31"/>
    </row>
    <row r="72" spans="1:6" s="9" customFormat="1" x14ac:dyDescent="0.35">
      <c r="A72" s="31"/>
      <c r="B72" s="53"/>
      <c r="C72" s="31"/>
      <c r="D72" s="31"/>
      <c r="E72" s="31"/>
      <c r="F72" s="31"/>
    </row>
    <row r="73" spans="1:6" s="9" customFormat="1" x14ac:dyDescent="0.35">
      <c r="A73" s="31"/>
      <c r="B73" s="53"/>
      <c r="C73" s="31"/>
      <c r="D73" s="31"/>
      <c r="E73" s="31"/>
      <c r="F73" s="31"/>
    </row>
    <row r="74" spans="1:6" s="9" customFormat="1" x14ac:dyDescent="0.35">
      <c r="A74" s="31"/>
      <c r="B74" s="53"/>
      <c r="C74" s="31"/>
      <c r="D74" s="31"/>
      <c r="E74" s="31"/>
      <c r="F74" s="31"/>
    </row>
    <row r="75" spans="1:6" s="9" customFormat="1" x14ac:dyDescent="0.35">
      <c r="A75" s="31"/>
      <c r="B75" s="53"/>
      <c r="C75" s="31"/>
      <c r="D75" s="31"/>
      <c r="E75" s="31"/>
      <c r="F75" s="31"/>
    </row>
    <row r="76" spans="1:6" s="9" customFormat="1" x14ac:dyDescent="0.35">
      <c r="A76" s="31"/>
      <c r="B76" s="53"/>
      <c r="C76" s="31"/>
      <c r="D76" s="31"/>
      <c r="E76" s="31"/>
      <c r="F76" s="31"/>
    </row>
    <row r="77" spans="1:6" s="9" customFormat="1" x14ac:dyDescent="0.35">
      <c r="A77" s="31"/>
      <c r="B77" s="53"/>
      <c r="C77" s="31"/>
      <c r="D77" s="31"/>
      <c r="E77" s="31"/>
      <c r="F77" s="31"/>
    </row>
    <row r="78" spans="1:6" s="9" customFormat="1" x14ac:dyDescent="0.35">
      <c r="A78" s="31"/>
      <c r="B78" s="53"/>
      <c r="C78" s="31"/>
      <c r="D78" s="31"/>
      <c r="E78" s="31"/>
      <c r="F78" s="31"/>
    </row>
    <row r="79" spans="1:6" s="9" customFormat="1" x14ac:dyDescent="0.35">
      <c r="A79" s="31"/>
      <c r="B79" s="53"/>
      <c r="C79" s="31"/>
      <c r="D79" s="31"/>
      <c r="E79" s="31"/>
      <c r="F79" s="31"/>
    </row>
    <row r="80" spans="1:6" s="9" customFormat="1" x14ac:dyDescent="0.35">
      <c r="A80" s="31"/>
      <c r="B80" s="53"/>
      <c r="C80" s="31"/>
      <c r="D80" s="31"/>
      <c r="E80" s="31"/>
      <c r="F80" s="31"/>
    </row>
    <row r="81" spans="1:6" s="9" customFormat="1" x14ac:dyDescent="0.35">
      <c r="A81" s="31"/>
      <c r="B81" s="53"/>
      <c r="C81" s="31"/>
      <c r="D81" s="31"/>
      <c r="E81" s="31"/>
      <c r="F81" s="31"/>
    </row>
    <row r="82" spans="1:6" s="9" customFormat="1" x14ac:dyDescent="0.35">
      <c r="A82" s="31"/>
      <c r="B82" s="53"/>
      <c r="C82" s="31"/>
      <c r="D82" s="31"/>
      <c r="E82" s="31"/>
      <c r="F82" s="31"/>
    </row>
    <row r="83" spans="1:6" s="9" customFormat="1" x14ac:dyDescent="0.35">
      <c r="A83" s="31"/>
      <c r="B83" s="53"/>
      <c r="C83" s="31"/>
      <c r="D83" s="31"/>
      <c r="E83" s="31"/>
      <c r="F83" s="31"/>
    </row>
    <row r="84" spans="1:6" s="9" customFormat="1" x14ac:dyDescent="0.35">
      <c r="A84" s="31"/>
      <c r="B84" s="53"/>
      <c r="C84" s="31"/>
      <c r="D84" s="31"/>
      <c r="E84" s="31"/>
      <c r="F84" s="31"/>
    </row>
    <row r="85" spans="1:6" s="9" customFormat="1" x14ac:dyDescent="0.35">
      <c r="A85" s="31"/>
      <c r="B85" s="53"/>
      <c r="C85" s="31"/>
      <c r="D85" s="31"/>
      <c r="E85" s="31"/>
      <c r="F85" s="31"/>
    </row>
    <row r="86" spans="1:6" s="9" customFormat="1" x14ac:dyDescent="0.35">
      <c r="A86" s="31"/>
      <c r="B86" s="53"/>
      <c r="C86" s="31"/>
      <c r="D86" s="31"/>
      <c r="E86" s="31"/>
      <c r="F86" s="31"/>
    </row>
    <row r="87" spans="1:6" s="9" customFormat="1" x14ac:dyDescent="0.35">
      <c r="A87" s="31"/>
      <c r="B87" s="53"/>
      <c r="C87" s="31"/>
      <c r="D87" s="31"/>
      <c r="E87" s="31"/>
      <c r="F87" s="31"/>
    </row>
    <row r="88" spans="1:6" s="9" customFormat="1" x14ac:dyDescent="0.35">
      <c r="A88" s="31"/>
      <c r="B88" s="53"/>
      <c r="C88" s="31"/>
      <c r="D88" s="31"/>
      <c r="E88" s="31"/>
      <c r="F88" s="31"/>
    </row>
    <row r="89" spans="1:6" s="9" customFormat="1" x14ac:dyDescent="0.35">
      <c r="A89" s="31"/>
      <c r="B89" s="53"/>
      <c r="C89" s="31"/>
      <c r="D89" s="31"/>
      <c r="E89" s="31"/>
      <c r="F89" s="31"/>
    </row>
    <row r="90" spans="1:6" s="9" customFormat="1" x14ac:dyDescent="0.35">
      <c r="A90" s="31"/>
      <c r="B90" s="53"/>
      <c r="C90" s="31"/>
      <c r="D90" s="31"/>
      <c r="E90" s="31"/>
      <c r="F90" s="31"/>
    </row>
    <row r="91" spans="1:6" s="9" customFormat="1" x14ac:dyDescent="0.35">
      <c r="A91" s="31"/>
      <c r="B91" s="53"/>
      <c r="C91" s="31"/>
      <c r="D91" s="31"/>
      <c r="E91" s="31"/>
      <c r="F91" s="31"/>
    </row>
    <row r="92" spans="1:6" s="9" customFormat="1" x14ac:dyDescent="0.35">
      <c r="A92" s="31"/>
      <c r="B92" s="53"/>
      <c r="C92" s="31"/>
      <c r="D92" s="31"/>
      <c r="E92" s="31"/>
      <c r="F92" s="31"/>
    </row>
    <row r="93" spans="1:6" s="9" customFormat="1" x14ac:dyDescent="0.35">
      <c r="A93" s="31"/>
      <c r="B93" s="53"/>
      <c r="C93" s="31"/>
      <c r="D93" s="31"/>
      <c r="E93" s="31"/>
      <c r="F93" s="31"/>
    </row>
    <row r="94" spans="1:6" s="9" customFormat="1" x14ac:dyDescent="0.35">
      <c r="A94" s="31"/>
      <c r="B94" s="53"/>
      <c r="C94" s="31"/>
      <c r="D94" s="31"/>
      <c r="E94" s="31"/>
      <c r="F94" s="31"/>
    </row>
    <row r="95" spans="1:6" s="9" customFormat="1" x14ac:dyDescent="0.35">
      <c r="A95" s="31"/>
      <c r="B95" s="53"/>
      <c r="C95" s="31"/>
      <c r="D95" s="31"/>
      <c r="E95" s="31"/>
      <c r="F95" s="31"/>
    </row>
    <row r="96" spans="1:6" s="9" customFormat="1" x14ac:dyDescent="0.35">
      <c r="A96" s="31"/>
      <c r="B96" s="53"/>
      <c r="C96" s="31"/>
      <c r="D96" s="31"/>
      <c r="E96" s="31"/>
      <c r="F96" s="31"/>
    </row>
    <row r="97" spans="1:6" s="9" customFormat="1" x14ac:dyDescent="0.35">
      <c r="A97" s="31"/>
      <c r="B97" s="53"/>
      <c r="C97" s="31"/>
      <c r="D97" s="31"/>
      <c r="E97" s="31"/>
      <c r="F97" s="31"/>
    </row>
    <row r="98" spans="1:6" s="9" customFormat="1" x14ac:dyDescent="0.35">
      <c r="A98" s="31"/>
      <c r="B98" s="53"/>
      <c r="C98" s="31"/>
      <c r="D98" s="31"/>
      <c r="E98" s="31"/>
      <c r="F98" s="31"/>
    </row>
  </sheetData>
  <mergeCells count="2">
    <mergeCell ref="C2:F2"/>
    <mergeCell ref="K7:L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ціни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PRYADKO</dc:creator>
  <cp:lastModifiedBy>Olga PRYADKO</cp:lastModifiedBy>
  <dcterms:created xsi:type="dcterms:W3CDTF">2026-01-06T12:08:00Z</dcterms:created>
  <dcterms:modified xsi:type="dcterms:W3CDTF">2026-01-06T14:31:47Z</dcterms:modified>
</cp:coreProperties>
</file>